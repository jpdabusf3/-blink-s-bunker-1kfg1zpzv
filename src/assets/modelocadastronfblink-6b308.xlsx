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Cadastro_NF" sheetId="2" state="visible" r:id="rId2"/>
    <sheet name="Itens_NF" sheetId="3" state="visible" r:id="rId3"/>
    <sheet name="Lotes" sheetId="4" state="visible" r:id="rId4"/>
    <sheet name="Referencia_Camp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A1A1A"/>
    </font>
    <font>
      <name val="Arial"/>
      <color rgb="00FF0000"/>
    </font>
    <font>
      <name val="Arial"/>
      <color rgb="000000FF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4" fontId="0" fillId="3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3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MODELO DE CADASTRO DE NOTAS FISCAIS — BLINK BIOTECH</t>
        </is>
      </c>
      <c r="B1" s="2" t="n"/>
      <c r="C1" s="2" t="n"/>
      <c r="D1" s="2" t="n"/>
      <c r="E1" s="2" t="n"/>
      <c r="F1" s="2" t="n"/>
    </row>
    <row r="3">
      <c r="A3" s="3" t="inlineStr">
        <is>
          <t>Como usar este modelo:</t>
        </is>
      </c>
    </row>
    <row r="4">
      <c r="A4" t="inlineStr">
        <is>
          <t>1. Preencha a aba 'Cadastro_NF' com os dados de cada nota fiscal (uma linha por NF)</t>
        </is>
      </c>
    </row>
    <row r="5">
      <c r="A5" t="inlineStr">
        <is>
          <t>2. Preencha a aba 'Itens_NF' com os produtos de cada NF (uma linha por produto por NF)</t>
        </is>
      </c>
    </row>
    <row r="6">
      <c r="A6" t="inlineStr">
        <is>
          <t>3. Preencha a aba 'Lotes' com os lotes de cada produto (uma linha por lote)</t>
        </is>
      </c>
    </row>
    <row r="7">
      <c r="A7" t="inlineStr">
        <is>
          <t>4. Use a aba 'Referencia_Campos' para consultar o significado de cada campo</t>
        </is>
      </c>
    </row>
    <row r="8">
      <c r="A8" s="4" t="inlineStr">
        <is>
          <t>5. Campos em vermelho sao obrigatorios</t>
        </is>
      </c>
    </row>
    <row r="9">
      <c r="A9" s="5" t="inlineStr">
        <is>
          <t>6. Campos azuis sao preenchidos automaticamente pelo sistema (nao preencher manualmente)</t>
        </is>
      </c>
    </row>
    <row r="11">
      <c r="A11" s="3" t="inlineStr">
        <is>
          <t>CAMPOS OBRIGATORIOS (Cadastro_NF):</t>
        </is>
      </c>
    </row>
    <row r="12">
      <c r="A12" t="inlineStr">
        <is>
          <t>numero_nf, data_emissao, destinatario_nome, valor_total_nota, especie_destino, canal_vendas, gestor_tecnico, vendedor</t>
        </is>
      </c>
    </row>
    <row r="14">
      <c r="A14" s="3" t="inlineStr">
        <is>
          <t>CAMPOS OBRIGATORIOS (Itens_NF):</t>
        </is>
      </c>
    </row>
    <row r="15">
      <c r="A15" t="inlineStr">
        <is>
          <t>numero_nf, produto_codigo, produto_quantidade, produto_valor_unitario, produto_valor_total</t>
        </is>
      </c>
    </row>
    <row r="17">
      <c r="A17" s="3" t="inlineStr">
        <is>
          <t>CAMPOS OBRIGATORIOS (Lotes):</t>
        </is>
      </c>
    </row>
    <row r="18">
      <c r="A18" t="inlineStr">
        <is>
          <t>numero_nf, produto_codigo, lote_codigo, lote_quantidade</t>
        </is>
      </c>
    </row>
    <row r="20">
      <c r="A20" s="3" t="inlineStr">
        <is>
          <t>OBSERVACOES:</t>
        </is>
      </c>
    </row>
    <row r="21">
      <c r="A21" t="inlineStr">
        <is>
          <t>- especie_destino: PET, AVES, SUINOS, RUMINANTES, AQUA, DISTRIBUICAO, OUTRO</t>
        </is>
      </c>
    </row>
    <row r="22">
      <c r="A22" t="inlineStr">
        <is>
          <t>- canal_vendas: Direto, Distribuidor, Industria, Premixera, Cooperativa, Online</t>
        </is>
      </c>
    </row>
    <row r="23">
      <c r="A23" t="inlineStr">
        <is>
          <t>- frete_modalidade: CIF ou FOB</t>
        </is>
      </c>
    </row>
    <row r="24">
      <c r="A24" t="inlineStr">
        <is>
          <t>- produto_cst: 100 (com ICMS) ou 140 (isento)</t>
        </is>
      </c>
    </row>
    <row r="25">
      <c r="A25" t="inlineStr">
        <is>
          <t>- produto_cfop: 6102 (fora de PR) ou 5102 (dentro de PR)</t>
        </is>
      </c>
    </row>
    <row r="26">
      <c r="A26" t="inlineStr">
        <is>
          <t>- gestor_tecnico: Rodrigo Garginal, Jessica Dilkin, Tais Fauro, Wagner Zacatei</t>
        </is>
      </c>
    </row>
    <row r="27">
      <c r="A27" t="inlineStr">
        <is>
          <t>- vendedor: Felipe Leao, Rafael Bellusci, Welington Alvares, Joao Pedro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6" customWidth="1" min="3" max="3"/>
    <col width="47" customWidth="1" min="4" max="4"/>
    <col width="21" customWidth="1" min="5" max="5"/>
    <col width="24" customWidth="1" min="6" max="6"/>
    <col width="48" customWidth="1" min="7" max="7"/>
    <col width="21" customWidth="1" min="8" max="8"/>
    <col width="18" customWidth="1" min="9" max="9"/>
    <col width="48" customWidth="1" min="10" max="10"/>
    <col width="27" customWidth="1" min="11" max="11"/>
    <col width="19" customWidth="1" min="12" max="12"/>
    <col width="25" customWidth="1" min="13" max="13"/>
    <col width="18" customWidth="1" min="14" max="14"/>
    <col width="20" customWidth="1" min="15" max="15"/>
    <col width="16" customWidth="1" min="16" max="16"/>
    <col width="20" customWidth="1" min="17" max="17"/>
    <col width="15" customWidth="1" min="18" max="18"/>
    <col width="11" customWidth="1" min="19" max="19"/>
    <col width="13" customWidth="1" min="20" max="20"/>
    <col width="14" customWidth="1" min="21" max="21"/>
    <col width="15" customWidth="1" min="22" max="22"/>
    <col width="11" customWidth="1" min="23" max="23"/>
    <col width="18" customWidth="1" min="24" max="24"/>
    <col width="12" customWidth="1" min="25" max="25"/>
    <col width="23" customWidth="1" min="26" max="26"/>
    <col width="20" customWidth="1" min="27" max="27"/>
    <col width="19" customWidth="1" min="28" max="28"/>
    <col width="21" customWidth="1" min="29" max="29"/>
    <col width="18" customWidth="1" min="30" max="30"/>
    <col width="13" customWidth="1" min="31" max="31"/>
    <col width="15" customWidth="1" min="32" max="32"/>
    <col width="15" customWidth="1" min="33" max="33"/>
    <col width="28" customWidth="1" min="34" max="34"/>
    <col width="19" customWidth="1" min="35" max="35"/>
    <col width="16" customWidth="1" min="36" max="36"/>
    <col width="19" customWidth="1" min="37" max="37"/>
    <col width="20" customWidth="1" min="38" max="38"/>
    <col width="12" customWidth="1" min="39" max="39"/>
  </cols>
  <sheetData>
    <row r="1">
      <c r="A1" s="6" t="inlineStr">
        <is>
          <t>numero_nf*</t>
        </is>
      </c>
      <c r="B1" s="6" t="inlineStr">
        <is>
          <t>serie</t>
        </is>
      </c>
      <c r="C1" s="6" t="inlineStr">
        <is>
          <t>data_emissao*</t>
        </is>
      </c>
      <c r="D1" s="6" t="inlineStr">
        <is>
          <t>chave_acesso</t>
        </is>
      </c>
      <c r="E1" s="6" t="inlineStr">
        <is>
          <t>natureza_operacao</t>
        </is>
      </c>
      <c r="F1" s="6" t="inlineStr">
        <is>
          <t>protocolo_autorizacao</t>
        </is>
      </c>
      <c r="G1" s="6" t="inlineStr">
        <is>
          <t>destinatario_nome*</t>
        </is>
      </c>
      <c r="H1" s="6" t="inlineStr">
        <is>
          <t>destinatario_cnpj</t>
        </is>
      </c>
      <c r="I1" s="6" t="inlineStr">
        <is>
          <t>destinatario_ie</t>
        </is>
      </c>
      <c r="J1" s="6" t="inlineStr">
        <is>
          <t>destinatario_endereco</t>
        </is>
      </c>
      <c r="K1" s="6" t="inlineStr">
        <is>
          <t>destinatario_bairro</t>
        </is>
      </c>
      <c r="L1" s="6" t="inlineStr">
        <is>
          <t>destinatario_cep</t>
        </is>
      </c>
      <c r="M1" s="6" t="inlineStr">
        <is>
          <t>destinatario_municipio</t>
        </is>
      </c>
      <c r="N1" s="6" t="inlineStr">
        <is>
          <t>destinatario_uf</t>
        </is>
      </c>
      <c r="O1" s="6" t="inlineStr">
        <is>
          <t>destinatario_fone</t>
        </is>
      </c>
      <c r="P1" s="6" t="inlineStr">
        <is>
          <t>fatura_numero</t>
        </is>
      </c>
      <c r="Q1" s="6" t="inlineStr">
        <is>
          <t>fatura_vencimento</t>
        </is>
      </c>
      <c r="R1" s="6" t="inlineStr">
        <is>
          <t>fatura_valor</t>
        </is>
      </c>
      <c r="S1" s="6" t="inlineStr">
        <is>
          <t>bc_icms</t>
        </is>
      </c>
      <c r="T1" s="6" t="inlineStr">
        <is>
          <t>valor_icms</t>
        </is>
      </c>
      <c r="U1" s="6" t="inlineStr">
        <is>
          <t>valor_frete</t>
        </is>
      </c>
      <c r="V1" s="6" t="inlineStr">
        <is>
          <t>valor_seguro</t>
        </is>
      </c>
      <c r="W1" s="6" t="inlineStr">
        <is>
          <t>desconto</t>
        </is>
      </c>
      <c r="X1" s="6" t="inlineStr">
        <is>
          <t>outras_despesas</t>
        </is>
      </c>
      <c r="Y1" s="6" t="inlineStr">
        <is>
          <t>valor_ipi</t>
        </is>
      </c>
      <c r="Z1" s="6" t="inlineStr">
        <is>
          <t>valor_total_produtos</t>
        </is>
      </c>
      <c r="AA1" s="6" t="inlineStr">
        <is>
          <t>valor_total_nota*</t>
        </is>
      </c>
      <c r="AB1" s="6" t="inlineStr">
        <is>
          <t>frete_modalidade</t>
        </is>
      </c>
      <c r="AC1" s="6" t="inlineStr">
        <is>
          <t>volumes_quantidade</t>
        </is>
      </c>
      <c r="AD1" s="6" t="inlineStr">
        <is>
          <t>volumes_especie</t>
        </is>
      </c>
      <c r="AE1" s="6" t="inlineStr">
        <is>
          <t>peso_bruto</t>
        </is>
      </c>
      <c r="AF1" s="6" t="inlineStr">
        <is>
          <t>peso_liquido</t>
        </is>
      </c>
      <c r="AG1" s="6" t="inlineStr">
        <is>
          <t>ordem_compra</t>
        </is>
      </c>
      <c r="AH1" s="6" t="inlineStr">
        <is>
          <t>valor_aproximado_tributos</t>
        </is>
      </c>
      <c r="AI1" s="6" t="inlineStr">
        <is>
          <t>especie_destino*</t>
        </is>
      </c>
      <c r="AJ1" s="6" t="inlineStr">
        <is>
          <t>canal_vendas*</t>
        </is>
      </c>
      <c r="AK1" s="6" t="inlineStr">
        <is>
          <t>gestor_tecnico*</t>
        </is>
      </c>
      <c r="AL1" s="6" t="inlineStr">
        <is>
          <t>vendedor*</t>
        </is>
      </c>
      <c r="AM1" s="6" t="inlineStr">
        <is>
          <t>status</t>
        </is>
      </c>
    </row>
    <row r="2">
      <c r="A2" s="7" t="n">
        <v>322</v>
      </c>
      <c r="B2" s="7" t="inlineStr">
        <is>
          <t>1</t>
        </is>
      </c>
      <c r="C2" s="8" t="inlineStr">
        <is>
          <t>31/08/2026</t>
        </is>
      </c>
      <c r="D2" s="7" t="inlineStr">
        <is>
          <t>41260838348638000433550010000003221648144744</t>
        </is>
      </c>
      <c r="E2" s="7" t="inlineStr">
        <is>
          <t>S-Venda Mercadoria</t>
        </is>
      </c>
      <c r="F2" s="7" t="inlineStr">
        <is>
          <t>141260348963840</t>
        </is>
      </c>
      <c r="G2" s="7" t="inlineStr">
        <is>
          <t>Nuttria Nutricao Animal Ltda.</t>
        </is>
      </c>
      <c r="H2" s="7" t="inlineStr">
        <is>
          <t>29.133.749/0001-99</t>
        </is>
      </c>
      <c r="I2" s="7" t="inlineStr">
        <is>
          <t>451086290112</t>
        </is>
      </c>
      <c r="J2" s="7" t="inlineStr">
        <is>
          <t>RUA Feliciano Sales Cunha, Km 455</t>
        </is>
      </c>
      <c r="K2" s="7" t="inlineStr">
        <is>
          <t>Zona Rural</t>
        </is>
      </c>
      <c r="L2" s="7" t="inlineStr">
        <is>
          <t>15.138-899</t>
        </is>
      </c>
      <c r="M2" s="7" t="inlineStr">
        <is>
          <t>Mirassol</t>
        </is>
      </c>
      <c r="N2" s="7" t="inlineStr">
        <is>
          <t>SP</t>
        </is>
      </c>
      <c r="O2" s="7" t="inlineStr">
        <is>
          <t>1735200800</t>
        </is>
      </c>
      <c r="P2" s="7" t="inlineStr">
        <is>
          <t>001</t>
        </is>
      </c>
      <c r="Q2" s="8" t="inlineStr">
        <is>
          <t>28/09/2026</t>
        </is>
      </c>
      <c r="R2" s="9" t="n">
        <v>9000</v>
      </c>
      <c r="S2" s="9" t="n">
        <v>9000</v>
      </c>
      <c r="T2" s="9" t="n">
        <v>360</v>
      </c>
      <c r="U2" s="9" t="n">
        <v>450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8550</v>
      </c>
      <c r="AA2" s="9" t="n">
        <v>9000</v>
      </c>
      <c r="AB2" s="7" t="inlineStr">
        <is>
          <t>CIF</t>
        </is>
      </c>
      <c r="AC2" s="7" t="inlineStr">
        <is>
          <t>1</t>
        </is>
      </c>
      <c r="AD2" s="7" t="inlineStr">
        <is>
          <t>palete</t>
        </is>
      </c>
      <c r="AE2" s="7" t="n">
        <v>335</v>
      </c>
      <c r="AF2" s="7" t="n">
        <v>300</v>
      </c>
      <c r="AG2" s="7" t="inlineStr">
        <is>
          <t>15040</t>
        </is>
      </c>
      <c r="AH2" s="9" t="n">
        <v>360</v>
      </c>
      <c r="AI2" s="7" t="inlineStr">
        <is>
          <t>RUMINANTES</t>
        </is>
      </c>
      <c r="AJ2" s="7" t="inlineStr">
        <is>
          <t>Direto</t>
        </is>
      </c>
      <c r="AK2" s="7" t="inlineStr">
        <is>
          <t>Rodrigo Garginal</t>
        </is>
      </c>
      <c r="AL2" s="7" t="inlineStr">
        <is>
          <t>Felipe Leao</t>
        </is>
      </c>
      <c r="AM2" s="7" t="inlineStr">
        <is>
          <t>importada</t>
        </is>
      </c>
    </row>
    <row r="3">
      <c r="A3" t="n">
        <v>323</v>
      </c>
      <c r="B3" t="inlineStr">
        <is>
          <t>1</t>
        </is>
      </c>
      <c r="C3" s="10" t="inlineStr">
        <is>
          <t>31/08/2026</t>
        </is>
      </c>
      <c r="D3" t="inlineStr">
        <is>
          <t>41260838348638000433550010000003231291027681</t>
        </is>
      </c>
      <c r="E3" t="inlineStr">
        <is>
          <t>S-Venda Mercadoria</t>
        </is>
      </c>
      <c r="F3" t="inlineStr">
        <is>
          <t>141260348975570</t>
        </is>
      </c>
      <c r="G3" t="inlineStr">
        <is>
          <t>Feedpro Science Nutrition Importadora e Exportadora Ltda</t>
        </is>
      </c>
      <c r="H3" t="inlineStr">
        <is>
          <t>26.613.883/0004-41</t>
        </is>
      </c>
      <c r="I3" t="inlineStr">
        <is>
          <t>9108087029</t>
        </is>
      </c>
      <c r="J3" t="inlineStr">
        <is>
          <t>Rua JOAQUIM ALVES FONTES, 2575</t>
        </is>
      </c>
      <c r="K3" t="inlineStr">
        <is>
          <t>COLONIA MURICI</t>
        </is>
      </c>
      <c r="L3" t="inlineStr">
        <is>
          <t>83.085-500</t>
        </is>
      </c>
      <c r="M3" t="inlineStr">
        <is>
          <t>Sao Jose dos Pinhais</t>
        </is>
      </c>
      <c r="N3" t="inlineStr">
        <is>
          <t>PR</t>
        </is>
      </c>
      <c r="O3" t="inlineStr">
        <is>
          <t>1143753955</t>
        </is>
      </c>
      <c r="P3" t="inlineStr">
        <is>
          <t>001</t>
        </is>
      </c>
      <c r="Q3" s="10" t="inlineStr">
        <is>
          <t>28/09/2026</t>
        </is>
      </c>
      <c r="R3" s="11" t="n">
        <v>371031.7</v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371031.7</v>
      </c>
      <c r="AA3" s="11" t="n">
        <v>371031.7</v>
      </c>
      <c r="AB3" t="inlineStr">
        <is>
          <t>FOB</t>
        </is>
      </c>
      <c r="AC3" t="inlineStr">
        <is>
          <t>15</t>
        </is>
      </c>
      <c r="AD3" t="inlineStr">
        <is>
          <t>Paletes</t>
        </is>
      </c>
      <c r="AE3" t="n">
        <v>16895</v>
      </c>
      <c r="AF3" t="n">
        <v>16370</v>
      </c>
      <c r="AH3" s="11" t="n">
        <v>34320.44</v>
      </c>
      <c r="AI3" t="inlineStr">
        <is>
          <t>AVES</t>
        </is>
      </c>
      <c r="AJ3" t="inlineStr">
        <is>
          <t>Industria</t>
        </is>
      </c>
      <c r="AK3" t="inlineStr">
        <is>
          <t>Jessica Dilkin</t>
        </is>
      </c>
      <c r="AL3" t="inlineStr">
        <is>
          <t>Rafael Bellusci</t>
        </is>
      </c>
      <c r="AM3" t="inlineStr">
        <is>
          <t>importada</t>
        </is>
      </c>
    </row>
    <row r="4">
      <c r="A4" s="7" t="n">
        <v>324</v>
      </c>
      <c r="B4" s="7" t="inlineStr">
        <is>
          <t>1</t>
        </is>
      </c>
      <c r="C4" s="8" t="inlineStr">
        <is>
          <t>31/08/2026</t>
        </is>
      </c>
      <c r="D4" s="7" t="inlineStr">
        <is>
          <t>41260838348638000433550010000003241118660545</t>
        </is>
      </c>
      <c r="E4" s="7" t="inlineStr">
        <is>
          <t>S-Venda Mercadoria</t>
        </is>
      </c>
      <c r="F4" s="7" t="inlineStr">
        <is>
          <t>141260349010501</t>
        </is>
      </c>
      <c r="G4" s="7" t="inlineStr">
        <is>
          <t>Pecuaria Nutricao Animal Ltda</t>
        </is>
      </c>
      <c r="H4" s="7" t="inlineStr">
        <is>
          <t>17.793.892/0001-28</t>
        </is>
      </c>
      <c r="I4" s="7" t="inlineStr">
        <is>
          <t>256983895</t>
        </is>
      </c>
      <c r="J4" s="7" t="inlineStr">
        <is>
          <t>ESTRADA MUNICIPAL DISTRITO DE SANTO ANTONIO, S/N</t>
        </is>
      </c>
      <c r="K4" s="7" t="inlineStr">
        <is>
          <t>INTERIOR - SANTO ANTONIO</t>
        </is>
      </c>
      <c r="L4" s="7" t="inlineStr">
        <is>
          <t>89.715-899</t>
        </is>
      </c>
      <c r="M4" s="7" t="inlineStr">
        <is>
          <t>Concordia</t>
        </is>
      </c>
      <c r="N4" s="7" t="inlineStr">
        <is>
          <t>SC</t>
        </is>
      </c>
      <c r="O4" s="7" t="inlineStr">
        <is>
          <t>4934429168</t>
        </is>
      </c>
      <c r="P4" s="7" t="inlineStr">
        <is>
          <t>001</t>
        </is>
      </c>
      <c r="Q4" s="8" t="inlineStr">
        <is>
          <t>28/09/2026</t>
        </is>
      </c>
      <c r="R4" s="9" t="n">
        <v>30864.01</v>
      </c>
      <c r="S4" s="9" t="n">
        <v>30864.01</v>
      </c>
      <c r="T4" s="9" t="n">
        <v>1234.56</v>
      </c>
      <c r="U4" s="9" t="n">
        <v>1543.2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29320.81</v>
      </c>
      <c r="AA4" s="9" t="n">
        <v>30864.01</v>
      </c>
      <c r="AB4" s="7" t="inlineStr">
        <is>
          <t>CIF</t>
        </is>
      </c>
      <c r="AC4" s="7" t="inlineStr">
        <is>
          <t>2</t>
        </is>
      </c>
      <c r="AD4" s="7" t="inlineStr">
        <is>
          <t>Paletes</t>
        </is>
      </c>
      <c r="AE4" s="7" t="n">
        <v>1270</v>
      </c>
      <c r="AF4" s="7" t="n">
        <v>1200</v>
      </c>
      <c r="AG4" s="7" t="n"/>
      <c r="AH4" s="9" t="n">
        <v>3975.29</v>
      </c>
      <c r="AI4" s="7" t="inlineStr">
        <is>
          <t>RUMINANTES</t>
        </is>
      </c>
      <c r="AJ4" s="7" t="inlineStr">
        <is>
          <t>Direto</t>
        </is>
      </c>
      <c r="AK4" s="7" t="inlineStr">
        <is>
          <t>Tais Fauro</t>
        </is>
      </c>
      <c r="AL4" s="7" t="inlineStr">
        <is>
          <t>Welington Alvares</t>
        </is>
      </c>
      <c r="AM4" s="7" t="inlineStr">
        <is>
          <t>importada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6" customWidth="1" min="3" max="3"/>
    <col width="14" customWidth="1" min="4" max="4"/>
    <col width="14" customWidth="1" min="5" max="5"/>
    <col width="15" customWidth="1" min="6" max="6"/>
    <col width="18" customWidth="1" min="7" max="7"/>
    <col width="22" customWidth="1" min="8" max="8"/>
    <col width="26" customWidth="1" min="9" max="9"/>
    <col width="23" customWidth="1" min="10" max="10"/>
    <col width="11" customWidth="1" min="11" max="11"/>
    <col width="13" customWidth="1" min="12" max="12"/>
    <col width="12" customWidth="1" min="13" max="13"/>
    <col width="12" customWidth="1" min="14" max="14"/>
    <col width="11" customWidth="1" min="15" max="15"/>
  </cols>
  <sheetData>
    <row r="1">
      <c r="A1" s="6" t="inlineStr">
        <is>
          <t>numero_nf*</t>
        </is>
      </c>
      <c r="B1" s="6" t="inlineStr">
        <is>
          <t>produto_codigo*</t>
        </is>
      </c>
      <c r="C1" s="6" t="inlineStr">
        <is>
          <t>produto_descricao</t>
        </is>
      </c>
      <c r="D1" s="6" t="inlineStr">
        <is>
          <t>produto_ncm</t>
        </is>
      </c>
      <c r="E1" s="6" t="inlineStr">
        <is>
          <t>produto_cst</t>
        </is>
      </c>
      <c r="F1" s="6" t="inlineStr">
        <is>
          <t>produto_cfop</t>
        </is>
      </c>
      <c r="G1" s="6" t="inlineStr">
        <is>
          <t>produto_unidade</t>
        </is>
      </c>
      <c r="H1" s="6" t="inlineStr">
        <is>
          <t>produto_quantidade*</t>
        </is>
      </c>
      <c r="I1" s="6" t="inlineStr">
        <is>
          <t>produto_valor_unitario*</t>
        </is>
      </c>
      <c r="J1" s="6" t="inlineStr">
        <is>
          <t>produto_valor_total*</t>
        </is>
      </c>
      <c r="K1" s="6" t="inlineStr">
        <is>
          <t>bc_icms</t>
        </is>
      </c>
      <c r="L1" s="6" t="inlineStr">
        <is>
          <t>valor_icms</t>
        </is>
      </c>
      <c r="M1" s="6" t="inlineStr">
        <is>
          <t>valor_ipi</t>
        </is>
      </c>
      <c r="N1" s="6" t="inlineStr">
        <is>
          <t>aliq_icms</t>
        </is>
      </c>
      <c r="O1" s="6" t="inlineStr">
        <is>
          <t>aliq_ipi</t>
        </is>
      </c>
    </row>
    <row r="2">
      <c r="A2" s="7" t="n">
        <v>322</v>
      </c>
      <c r="B2" s="7" t="inlineStr">
        <is>
          <t>BPMI.OR015</t>
        </is>
      </c>
      <c r="C2" s="7" t="inlineStr">
        <is>
          <t>Blink Copper 22 - SC</t>
        </is>
      </c>
      <c r="D2" s="7" t="inlineStr">
        <is>
          <t>2309.90.90</t>
        </is>
      </c>
      <c r="E2" s="7" t="n">
        <v>100</v>
      </c>
      <c r="F2" s="7" t="n">
        <v>6102</v>
      </c>
      <c r="G2" s="7" t="inlineStr">
        <is>
          <t>KG</t>
        </is>
      </c>
      <c r="H2" s="9" t="n">
        <v>300</v>
      </c>
      <c r="I2" s="9" t="n"/>
      <c r="J2" s="9">
        <f>H2*I2</f>
        <v/>
      </c>
      <c r="K2" s="9" t="n">
        <v>9000</v>
      </c>
      <c r="L2" s="9" t="n">
        <v>360</v>
      </c>
      <c r="M2" s="9" t="n">
        <v>0</v>
      </c>
      <c r="N2" s="12" t="n">
        <v>4</v>
      </c>
      <c r="O2" s="12" t="n">
        <v>0</v>
      </c>
    </row>
    <row r="3">
      <c r="A3" t="n">
        <v>323</v>
      </c>
      <c r="B3" t="inlineStr">
        <is>
          <t>BPMI.OR035</t>
        </is>
      </c>
      <c r="C3" t="inlineStr">
        <is>
          <t>Blink Zinc 22 - SC</t>
        </is>
      </c>
      <c r="D3" t="inlineStr">
        <is>
          <t>2309.90.90</t>
        </is>
      </c>
      <c r="E3" t="n">
        <v>140</v>
      </c>
      <c r="F3" t="n">
        <v>5102</v>
      </c>
      <c r="G3" t="inlineStr">
        <is>
          <t>KG</t>
        </is>
      </c>
      <c r="H3" s="11" t="n">
        <v>4500</v>
      </c>
      <c r="I3" s="11" t="n"/>
      <c r="J3" s="11">
        <f>H3*I3</f>
        <v/>
      </c>
      <c r="K3" s="11" t="n">
        <v>0</v>
      </c>
      <c r="L3" s="11" t="n">
        <v>0</v>
      </c>
      <c r="M3" s="11" t="n">
        <v>0</v>
      </c>
      <c r="N3" s="13" t="n">
        <v>0</v>
      </c>
      <c r="O3" s="13" t="n">
        <v>0</v>
      </c>
    </row>
    <row r="4">
      <c r="A4" s="7" t="n">
        <v>323</v>
      </c>
      <c r="B4" s="7" t="inlineStr">
        <is>
          <t>BPMI.OR027</t>
        </is>
      </c>
      <c r="C4" s="7" t="inlineStr">
        <is>
          <t>Blink Manganese 22 - SC</t>
        </is>
      </c>
      <c r="D4" s="7" t="inlineStr">
        <is>
          <t>2309.90.90</t>
        </is>
      </c>
      <c r="E4" s="7" t="n">
        <v>140</v>
      </c>
      <c r="F4" s="7" t="n">
        <v>5102</v>
      </c>
      <c r="G4" s="7" t="inlineStr">
        <is>
          <t>KG</t>
        </is>
      </c>
      <c r="H4" s="9" t="n">
        <v>1200</v>
      </c>
      <c r="I4" s="9" t="n"/>
      <c r="J4" s="9">
        <f>H4*I4</f>
        <v/>
      </c>
      <c r="K4" s="9" t="n">
        <v>0</v>
      </c>
      <c r="L4" s="9" t="n">
        <v>0</v>
      </c>
      <c r="M4" s="9" t="n">
        <v>0</v>
      </c>
      <c r="N4" s="12" t="n">
        <v>0</v>
      </c>
      <c r="O4" s="12" t="n">
        <v>0</v>
      </c>
    </row>
    <row r="5">
      <c r="A5" t="n">
        <v>323</v>
      </c>
      <c r="B5" t="inlineStr">
        <is>
          <t>BPMI.OR019</t>
        </is>
      </c>
      <c r="C5" t="inlineStr">
        <is>
          <t>Blink Iron 22 - SC</t>
        </is>
      </c>
      <c r="D5" t="inlineStr">
        <is>
          <t>2309.90.90</t>
        </is>
      </c>
      <c r="E5" t="n">
        <v>140</v>
      </c>
      <c r="F5" t="n">
        <v>5102</v>
      </c>
      <c r="G5" t="inlineStr">
        <is>
          <t>KG</t>
        </is>
      </c>
      <c r="H5" s="11" t="n">
        <v>270</v>
      </c>
      <c r="I5" s="11" t="n"/>
      <c r="J5" s="11">
        <f>H5*I5</f>
        <v/>
      </c>
      <c r="K5" s="11" t="n">
        <v>0</v>
      </c>
      <c r="L5" s="11" t="n">
        <v>0</v>
      </c>
      <c r="M5" s="11" t="n">
        <v>0</v>
      </c>
      <c r="N5" s="13" t="n">
        <v>0</v>
      </c>
      <c r="O5" s="13" t="n">
        <v>0</v>
      </c>
    </row>
    <row r="6">
      <c r="A6" s="7" t="n">
        <v>323</v>
      </c>
      <c r="B6" s="7" t="inlineStr">
        <is>
          <t>BPMI.OR015</t>
        </is>
      </c>
      <c r="C6" s="7" t="inlineStr">
        <is>
          <t>Blink Copper 22 - SC</t>
        </is>
      </c>
      <c r="D6" s="7" t="inlineStr">
        <is>
          <t>2309.90.90</t>
        </is>
      </c>
      <c r="E6" s="7" t="n">
        <v>140</v>
      </c>
      <c r="F6" s="7" t="n">
        <v>5102</v>
      </c>
      <c r="G6" s="7" t="inlineStr">
        <is>
          <t>KG</t>
        </is>
      </c>
      <c r="H6" s="9" t="n">
        <v>1500</v>
      </c>
      <c r="I6" s="9" t="n"/>
      <c r="J6" s="9">
        <f>H6*I6</f>
        <v/>
      </c>
      <c r="K6" s="9" t="n">
        <v>0</v>
      </c>
      <c r="L6" s="9" t="n">
        <v>0</v>
      </c>
      <c r="M6" s="9" t="n">
        <v>0</v>
      </c>
      <c r="N6" s="12" t="n">
        <v>0</v>
      </c>
      <c r="O6" s="12" t="n">
        <v>0</v>
      </c>
    </row>
    <row r="7">
      <c r="A7" t="n">
        <v>323</v>
      </c>
      <c r="B7" t="inlineStr">
        <is>
          <t>BPMI.OR007</t>
        </is>
      </c>
      <c r="C7" t="inlineStr">
        <is>
          <t>Blink Chromium 20 - SC</t>
        </is>
      </c>
      <c r="D7" t="inlineStr">
        <is>
          <t>2309.90.90</t>
        </is>
      </c>
      <c r="E7" t="n">
        <v>140</v>
      </c>
      <c r="F7" t="n">
        <v>5102</v>
      </c>
      <c r="G7" t="inlineStr">
        <is>
          <t>KG</t>
        </is>
      </c>
      <c r="H7" s="11" t="n">
        <v>3900</v>
      </c>
      <c r="I7" s="11" t="n"/>
      <c r="J7" s="11">
        <f>H7*I7</f>
        <v/>
      </c>
      <c r="K7" s="11" t="n">
        <v>0</v>
      </c>
      <c r="L7" s="11" t="n">
        <v>0</v>
      </c>
      <c r="M7" s="11" t="n">
        <v>0</v>
      </c>
      <c r="N7" s="13" t="n">
        <v>0</v>
      </c>
      <c r="O7" s="13" t="n">
        <v>0</v>
      </c>
    </row>
    <row r="8">
      <c r="A8" s="7" t="n">
        <v>323</v>
      </c>
      <c r="B8" s="7" t="inlineStr">
        <is>
          <t>BPMI.OR031</t>
        </is>
      </c>
      <c r="C8" s="7" t="inlineStr">
        <is>
          <t>Blink Selenium 6.0 - SC</t>
        </is>
      </c>
      <c r="D8" s="7" t="inlineStr">
        <is>
          <t>2309.90.90</t>
        </is>
      </c>
      <c r="E8" s="7" t="n">
        <v>140</v>
      </c>
      <c r="F8" s="7" t="n">
        <v>5102</v>
      </c>
      <c r="G8" s="7" t="inlineStr">
        <is>
          <t>KG</t>
        </is>
      </c>
      <c r="H8" s="9" t="n">
        <v>5000</v>
      </c>
      <c r="I8" s="9" t="n"/>
      <c r="J8" s="9">
        <f>H8*I8</f>
        <v/>
      </c>
      <c r="K8" s="9" t="n">
        <v>0</v>
      </c>
      <c r="L8" s="9" t="n">
        <v>0</v>
      </c>
      <c r="M8" s="9" t="n">
        <v>0</v>
      </c>
      <c r="N8" s="12" t="n">
        <v>0</v>
      </c>
      <c r="O8" s="12" t="n">
        <v>0</v>
      </c>
    </row>
    <row r="9">
      <c r="A9" t="n">
        <v>324</v>
      </c>
      <c r="B9" t="inlineStr">
        <is>
          <t>BPMI.OR035</t>
        </is>
      </c>
      <c r="C9" t="inlineStr">
        <is>
          <t>Blink Zinc 22 - SC</t>
        </is>
      </c>
      <c r="D9" t="inlineStr">
        <is>
          <t>2309.90.90</t>
        </is>
      </c>
      <c r="E9" t="n">
        <v>100</v>
      </c>
      <c r="F9" t="n">
        <v>6102</v>
      </c>
      <c r="G9" t="inlineStr">
        <is>
          <t>KG</t>
        </is>
      </c>
      <c r="H9" s="11" t="n">
        <v>400</v>
      </c>
      <c r="I9" s="11" t="n"/>
      <c r="J9" s="11">
        <f>H9*I9</f>
        <v/>
      </c>
      <c r="K9" s="11" t="n">
        <v>7940</v>
      </c>
      <c r="L9" s="11" t="n">
        <v>317.6</v>
      </c>
      <c r="M9" s="11" t="n">
        <v>0</v>
      </c>
      <c r="N9" s="13" t="n">
        <v>4</v>
      </c>
      <c r="O9" s="13" t="n">
        <v>0</v>
      </c>
    </row>
    <row r="10">
      <c r="A10" s="7" t="n">
        <v>324</v>
      </c>
      <c r="B10" s="7" t="inlineStr">
        <is>
          <t>BPMI.OR005</t>
        </is>
      </c>
      <c r="C10" s="7" t="inlineStr">
        <is>
          <t>Blink Chromium 10 - SC</t>
        </is>
      </c>
      <c r="D10" s="7" t="inlineStr">
        <is>
          <t>2309.90.90</t>
        </is>
      </c>
      <c r="E10" s="7" t="n">
        <v>100</v>
      </c>
      <c r="F10" s="7" t="n">
        <v>6102</v>
      </c>
      <c r="G10" s="7" t="inlineStr">
        <is>
          <t>KG</t>
        </is>
      </c>
      <c r="H10" s="9" t="n">
        <v>500</v>
      </c>
      <c r="I10" s="9" t="n"/>
      <c r="J10" s="9">
        <f>H10*I10</f>
        <v/>
      </c>
      <c r="K10" s="9" t="n">
        <v>13300.01</v>
      </c>
      <c r="L10" s="9" t="n">
        <v>532</v>
      </c>
      <c r="M10" s="9" t="n">
        <v>0</v>
      </c>
      <c r="N10" s="12" t="n">
        <v>4</v>
      </c>
      <c r="O10" s="12" t="n">
        <v>0</v>
      </c>
    </row>
    <row r="11">
      <c r="A11" t="n">
        <v>324</v>
      </c>
      <c r="B11" t="inlineStr">
        <is>
          <t>BPMI.OR015</t>
        </is>
      </c>
      <c r="C11" t="inlineStr">
        <is>
          <t>Blink Copper 22 - SC</t>
        </is>
      </c>
      <c r="D11" t="inlineStr">
        <is>
          <t>2309.90.90</t>
        </is>
      </c>
      <c r="E11" t="n">
        <v>100</v>
      </c>
      <c r="F11" t="n">
        <v>6102</v>
      </c>
      <c r="G11" t="inlineStr">
        <is>
          <t>KG</t>
        </is>
      </c>
      <c r="H11" s="11" t="n">
        <v>300</v>
      </c>
      <c r="I11" s="11" t="n"/>
      <c r="J11" s="11">
        <f>H11*I11</f>
        <v/>
      </c>
      <c r="K11" s="11" t="n">
        <v>9624</v>
      </c>
      <c r="L11" s="11" t="n">
        <v>384.96</v>
      </c>
      <c r="M11" s="11" t="n">
        <v>0</v>
      </c>
      <c r="N11" s="13" t="n">
        <v>4</v>
      </c>
      <c r="O11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4" customWidth="1" min="3" max="3"/>
    <col width="19" customWidth="1" min="4" max="4"/>
  </cols>
  <sheetData>
    <row r="1">
      <c r="A1" s="6" t="inlineStr">
        <is>
          <t>numero_nf*</t>
        </is>
      </c>
      <c r="B1" s="6" t="inlineStr">
        <is>
          <t>produto_codigo*</t>
        </is>
      </c>
      <c r="C1" s="6" t="inlineStr">
        <is>
          <t>lote_codigo*</t>
        </is>
      </c>
      <c r="D1" s="6" t="inlineStr">
        <is>
          <t>lote_quantidade*</t>
        </is>
      </c>
    </row>
    <row r="2">
      <c r="A2" s="7" t="n">
        <v>322</v>
      </c>
      <c r="B2" s="7" t="inlineStr">
        <is>
          <t>BPMI.OR015</t>
        </is>
      </c>
      <c r="C2" s="7" t="inlineStr">
        <is>
          <t>B2026012002MIOR.Cu22</t>
        </is>
      </c>
      <c r="D2" s="9" t="n">
        <v>300</v>
      </c>
    </row>
    <row r="3">
      <c r="A3" t="n">
        <v>323</v>
      </c>
      <c r="B3" t="inlineStr">
        <is>
          <t>BPMI.OR035</t>
        </is>
      </c>
      <c r="C3" t="inlineStr">
        <is>
          <t>B2026060302MIOR.Zn22</t>
        </is>
      </c>
      <c r="D3" s="11" t="n">
        <v>1380</v>
      </c>
    </row>
    <row r="4">
      <c r="A4" s="7" t="n">
        <v>323</v>
      </c>
      <c r="B4" s="7" t="inlineStr">
        <is>
          <t>BPMI.OR035</t>
        </is>
      </c>
      <c r="C4" s="7" t="inlineStr">
        <is>
          <t>B2026071502MIOR.Zn22</t>
        </is>
      </c>
      <c r="D4" s="9" t="n">
        <v>3120</v>
      </c>
    </row>
    <row r="5">
      <c r="A5" t="n">
        <v>323</v>
      </c>
      <c r="B5" t="inlineStr">
        <is>
          <t>BPMI.OR027</t>
        </is>
      </c>
      <c r="C5" t="inlineStr">
        <is>
          <t>B2026060401MIOR.Mn22</t>
        </is>
      </c>
      <c r="D5" s="11" t="n">
        <v>1200</v>
      </c>
    </row>
    <row r="6">
      <c r="A6" s="7" t="n">
        <v>323</v>
      </c>
      <c r="B6" s="7" t="inlineStr">
        <is>
          <t>BPMI.OR019</t>
        </is>
      </c>
      <c r="C6" s="7" t="inlineStr">
        <is>
          <t>B2025090701MIOR.Fe22</t>
        </is>
      </c>
      <c r="D6" s="9" t="n">
        <v>270</v>
      </c>
    </row>
    <row r="7">
      <c r="A7" t="n">
        <v>323</v>
      </c>
      <c r="B7" t="inlineStr">
        <is>
          <t>BPMI.OR015</t>
        </is>
      </c>
      <c r="C7" t="inlineStr">
        <is>
          <t>B2025102501MIOR.Cu22</t>
        </is>
      </c>
      <c r="D7" s="11" t="n">
        <v>1500</v>
      </c>
    </row>
    <row r="8">
      <c r="A8" s="7" t="n">
        <v>323</v>
      </c>
      <c r="B8" s="7" t="inlineStr">
        <is>
          <t>BPMI.OR007</t>
        </is>
      </c>
      <c r="C8" s="7" t="inlineStr">
        <is>
          <t>B2025102301MIOR.Cr20</t>
        </is>
      </c>
      <c r="D8" s="9" t="n">
        <v>25</v>
      </c>
    </row>
    <row r="9">
      <c r="A9" t="n">
        <v>323</v>
      </c>
      <c r="B9" t="inlineStr">
        <is>
          <t>BPMI.OR007</t>
        </is>
      </c>
      <c r="C9" t="inlineStr">
        <is>
          <t>B2026050101MIOR.Cr20</t>
        </is>
      </c>
      <c r="D9" s="11" t="n">
        <v>2775</v>
      </c>
    </row>
    <row r="10">
      <c r="A10" s="7" t="n">
        <v>323</v>
      </c>
      <c r="B10" s="7" t="inlineStr">
        <is>
          <t>BPMI.OR007</t>
        </is>
      </c>
      <c r="C10" s="7" t="inlineStr">
        <is>
          <t>B2026043001MIOR.Cr20</t>
        </is>
      </c>
      <c r="D10" s="9" t="n">
        <v>1100</v>
      </c>
    </row>
    <row r="11">
      <c r="A11" t="n">
        <v>323</v>
      </c>
      <c r="B11" t="inlineStr">
        <is>
          <t>BPMI.OR031</t>
        </is>
      </c>
      <c r="C11" t="inlineStr">
        <is>
          <t>B2025032901MIOR.Se6.0</t>
        </is>
      </c>
      <c r="D11" s="11" t="n">
        <v>10</v>
      </c>
    </row>
    <row r="12">
      <c r="A12" s="7" t="n">
        <v>323</v>
      </c>
      <c r="B12" s="7" t="inlineStr">
        <is>
          <t>BPMI.OR031</t>
        </is>
      </c>
      <c r="C12" s="7" t="inlineStr">
        <is>
          <t>B2025053101MIOR.Se6.0</t>
        </is>
      </c>
      <c r="D12" s="9" t="n">
        <v>15</v>
      </c>
    </row>
    <row r="13">
      <c r="A13" t="n">
        <v>323</v>
      </c>
      <c r="B13" t="inlineStr">
        <is>
          <t>BPMI.OR031</t>
        </is>
      </c>
      <c r="C13" t="inlineStr">
        <is>
          <t>B2026060601MIOR.Se6.0</t>
        </is>
      </c>
      <c r="D13" s="11" t="n">
        <v>1245</v>
      </c>
    </row>
    <row r="14">
      <c r="A14" s="7" t="n">
        <v>323</v>
      </c>
      <c r="B14" s="7" t="inlineStr">
        <is>
          <t>BPMI.OR031</t>
        </is>
      </c>
      <c r="C14" s="7" t="inlineStr">
        <is>
          <t>B2026060701MIOR.Se6.0</t>
        </is>
      </c>
      <c r="D14" s="9" t="n">
        <v>2700</v>
      </c>
    </row>
    <row r="15">
      <c r="A15" t="n">
        <v>323</v>
      </c>
      <c r="B15" t="inlineStr">
        <is>
          <t>BPMI.OR031</t>
        </is>
      </c>
      <c r="C15" t="inlineStr">
        <is>
          <t>B2026060802MIOR.Se6.0</t>
        </is>
      </c>
      <c r="D15" s="11" t="n">
        <v>435</v>
      </c>
    </row>
    <row r="16">
      <c r="A16" s="7" t="n">
        <v>323</v>
      </c>
      <c r="B16" s="7" t="inlineStr">
        <is>
          <t>BPMI.OR031</t>
        </is>
      </c>
      <c r="C16" s="7" t="inlineStr">
        <is>
          <t>B2026060801MIOR.Se6.0</t>
        </is>
      </c>
      <c r="D16" s="9" t="n">
        <v>595</v>
      </c>
    </row>
    <row r="17">
      <c r="A17" t="n">
        <v>324</v>
      </c>
      <c r="B17" t="inlineStr">
        <is>
          <t>BPMI.OR035</t>
        </is>
      </c>
      <c r="C17" t="inlineStr">
        <is>
          <t>B2026072602MIOR.Zn22</t>
        </is>
      </c>
      <c r="D17" s="11" t="n">
        <v>400</v>
      </c>
    </row>
    <row r="18">
      <c r="A18" s="7" t="n">
        <v>324</v>
      </c>
      <c r="B18" s="7" t="inlineStr">
        <is>
          <t>BPMI.OR005</t>
        </is>
      </c>
      <c r="C18" s="7" t="inlineStr">
        <is>
          <t>B2026043001MIOR.Cr10</t>
        </is>
      </c>
      <c r="D18" s="9" t="n">
        <v>325</v>
      </c>
    </row>
    <row r="19">
      <c r="A19" t="n">
        <v>324</v>
      </c>
      <c r="B19" t="inlineStr">
        <is>
          <t>BPMI.OR005</t>
        </is>
      </c>
      <c r="C19" t="inlineStr">
        <is>
          <t>B2026042801MIOR.Cr10</t>
        </is>
      </c>
      <c r="D19" s="11" t="n">
        <v>175</v>
      </c>
    </row>
    <row r="20">
      <c r="A20" s="7" t="n">
        <v>324</v>
      </c>
      <c r="B20" s="7" t="inlineStr">
        <is>
          <t>BPMI.OR015</t>
        </is>
      </c>
      <c r="C20" s="7" t="inlineStr">
        <is>
          <t>B2025021701MIOR.Cu22</t>
        </is>
      </c>
      <c r="D20" s="9" t="n">
        <v>60</v>
      </c>
    </row>
    <row r="21">
      <c r="A21" t="n">
        <v>324</v>
      </c>
      <c r="B21" t="inlineStr">
        <is>
          <t>BPMI.OR015</t>
        </is>
      </c>
      <c r="C21" t="inlineStr">
        <is>
          <t>B2026012001MIOR.Cu22</t>
        </is>
      </c>
      <c r="D21" s="11" t="n">
        <v>240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3" customWidth="1" min="2" max="2"/>
    <col width="9" customWidth="1" min="3" max="3"/>
    <col width="14" customWidth="1" min="4" max="4"/>
    <col width="33" customWidth="1" min="5" max="5"/>
    <col width="48" customWidth="1" min="6" max="6"/>
  </cols>
  <sheetData>
    <row r="1">
      <c r="A1" s="6" t="inlineStr">
        <is>
          <t>Campo</t>
        </is>
      </c>
      <c r="B1" s="6" t="inlineStr">
        <is>
          <t>Aba</t>
        </is>
      </c>
      <c r="C1" s="6" t="inlineStr">
        <is>
          <t>Tipo</t>
        </is>
      </c>
      <c r="D1" s="6" t="inlineStr">
        <is>
          <t>Obrigatorio</t>
        </is>
      </c>
      <c r="E1" s="6" t="inlineStr">
        <is>
          <t>Descricao</t>
        </is>
      </c>
      <c r="F1" s="6" t="inlineStr">
        <is>
          <t>Valores Possiveis</t>
        </is>
      </c>
    </row>
    <row r="2">
      <c r="A2" s="7" t="inlineStr">
        <is>
          <t>numero_nf</t>
        </is>
      </c>
      <c r="B2" s="7" t="inlineStr">
        <is>
          <t>Cadastro_NF + Itens_NF + Lotes</t>
        </is>
      </c>
      <c r="C2" s="7" t="inlineStr">
        <is>
          <t>Texto</t>
        </is>
      </c>
      <c r="D2" s="7" t="inlineStr">
        <is>
          <t>Sim</t>
        </is>
      </c>
      <c r="E2" s="7" t="inlineStr">
        <is>
          <t>Numero da nota fiscal</t>
        </is>
      </c>
      <c r="F2" s="7" t="inlineStr">
        <is>
          <t>Ex: 322</t>
        </is>
      </c>
    </row>
    <row r="3">
      <c r="A3" t="inlineStr">
        <is>
          <t>serie</t>
        </is>
      </c>
      <c r="B3" t="inlineStr">
        <is>
          <t>Cadastro_NF</t>
        </is>
      </c>
      <c r="C3" t="inlineStr">
        <is>
          <t>Texto</t>
        </is>
      </c>
      <c r="D3" t="inlineStr">
        <is>
          <t>Nao</t>
        </is>
      </c>
      <c r="E3" t="inlineStr">
        <is>
          <t>Serie da NF</t>
        </is>
      </c>
      <c r="F3" t="inlineStr">
        <is>
          <t>Sempre 1</t>
        </is>
      </c>
    </row>
    <row r="4">
      <c r="A4" s="7" t="inlineStr">
        <is>
          <t>data_emissao</t>
        </is>
      </c>
      <c r="B4" s="7" t="inlineStr">
        <is>
          <t>Cadastro_NF</t>
        </is>
      </c>
      <c r="C4" s="7" t="inlineStr">
        <is>
          <t>Data</t>
        </is>
      </c>
      <c r="D4" s="7" t="inlineStr">
        <is>
          <t>Sim</t>
        </is>
      </c>
      <c r="E4" s="7" t="inlineStr">
        <is>
          <t>Data de emissao da NF</t>
        </is>
      </c>
      <c r="F4" s="7" t="inlineStr">
        <is>
          <t>DD/MM/AAAA</t>
        </is>
      </c>
    </row>
    <row r="5">
      <c r="A5" t="inlineStr">
        <is>
          <t>chave_acesso</t>
        </is>
      </c>
      <c r="B5" t="inlineStr">
        <is>
          <t>Cadastro_NF</t>
        </is>
      </c>
      <c r="C5" t="inlineStr">
        <is>
          <t>Texto</t>
        </is>
      </c>
      <c r="D5" t="inlineStr">
        <is>
          <t>Nao</t>
        </is>
      </c>
      <c r="E5" t="inlineStr">
        <is>
          <t>Chave de acesso de 44 digitos</t>
        </is>
      </c>
      <c r="F5" t="inlineStr"/>
    </row>
    <row r="6">
      <c r="A6" s="7" t="inlineStr">
        <is>
          <t>destinatario_nome</t>
        </is>
      </c>
      <c r="B6" s="7" t="inlineStr">
        <is>
          <t>Cadastro_NF</t>
        </is>
      </c>
      <c r="C6" s="7" t="inlineStr">
        <is>
          <t>Texto</t>
        </is>
      </c>
      <c r="D6" s="7" t="inlineStr">
        <is>
          <t>Sim</t>
        </is>
      </c>
      <c r="E6" s="7" t="inlineStr">
        <is>
          <t>Nome do cliente</t>
        </is>
      </c>
      <c r="F6" s="7" t="inlineStr"/>
    </row>
    <row r="7">
      <c r="A7" t="inlineStr">
        <is>
          <t>destinatario_cnpj</t>
        </is>
      </c>
      <c r="B7" t="inlineStr">
        <is>
          <t>Cadastro_NF</t>
        </is>
      </c>
      <c r="C7" t="inlineStr">
        <is>
          <t>Texto</t>
        </is>
      </c>
      <c r="D7" t="inlineStr">
        <is>
          <t>Nao</t>
        </is>
      </c>
      <c r="E7" t="inlineStr">
        <is>
          <t>CNPJ do cliente</t>
        </is>
      </c>
      <c r="F7" t="inlineStr">
        <is>
          <t>XX.XXX.XXX/XXXX-XX</t>
        </is>
      </c>
    </row>
    <row r="8">
      <c r="A8" s="7" t="inlineStr">
        <is>
          <t>destinatario_uf</t>
        </is>
      </c>
      <c r="B8" s="7" t="inlineStr">
        <is>
          <t>Cadastro_NF</t>
        </is>
      </c>
      <c r="C8" s="7" t="inlineStr">
        <is>
          <t>Texto</t>
        </is>
      </c>
      <c r="D8" s="7" t="inlineStr">
        <is>
          <t>Nao</t>
        </is>
      </c>
      <c r="E8" s="7" t="inlineStr">
        <is>
          <t>Estado do cliente</t>
        </is>
      </c>
      <c r="F8" s="7" t="inlineStr">
        <is>
          <t>SP, PR, SC, etc</t>
        </is>
      </c>
    </row>
    <row r="9">
      <c r="A9" t="inlineStr">
        <is>
          <t>valor_total_nota</t>
        </is>
      </c>
      <c r="B9" t="inlineStr">
        <is>
          <t>Cadastro_NF</t>
        </is>
      </c>
      <c r="C9" t="inlineStr">
        <is>
          <t>Moeda</t>
        </is>
      </c>
      <c r="D9" t="inlineStr">
        <is>
          <t>Sim</t>
        </is>
      </c>
      <c r="E9" t="inlineStr">
        <is>
          <t>Valor total da NF</t>
        </is>
      </c>
      <c r="F9" t="inlineStr">
        <is>
          <t>R$ 0,00</t>
        </is>
      </c>
    </row>
    <row r="10">
      <c r="A10" s="7" t="inlineStr">
        <is>
          <t>valor_total_produtos</t>
        </is>
      </c>
      <c r="B10" s="7" t="inlineStr">
        <is>
          <t>Cadastro_NF</t>
        </is>
      </c>
      <c r="C10" s="7" t="inlineStr">
        <is>
          <t>Moeda</t>
        </is>
      </c>
      <c r="D10" s="7" t="inlineStr">
        <is>
          <t>Nao</t>
        </is>
      </c>
      <c r="E10" s="7" t="inlineStr">
        <is>
          <t>Soma dos produtos sem impostos</t>
        </is>
      </c>
      <c r="F10" s="7" t="inlineStr">
        <is>
          <t>R$ 0,00</t>
        </is>
      </c>
    </row>
    <row r="11">
      <c r="A11" t="inlineStr">
        <is>
          <t>bc_icms</t>
        </is>
      </c>
      <c r="B11" t="inlineStr">
        <is>
          <t>Cadastro_NF</t>
        </is>
      </c>
      <c r="C11" t="inlineStr">
        <is>
          <t>Moeda</t>
        </is>
      </c>
      <c r="D11" t="inlineStr">
        <is>
          <t>Nao</t>
        </is>
      </c>
      <c r="E11" t="inlineStr">
        <is>
          <t>Base de calculo do ICMS</t>
        </is>
      </c>
      <c r="F11" t="inlineStr">
        <is>
          <t>R$ 0,00</t>
        </is>
      </c>
    </row>
    <row r="12">
      <c r="A12" s="7" t="inlineStr">
        <is>
          <t>valor_icms</t>
        </is>
      </c>
      <c r="B12" s="7" t="inlineStr">
        <is>
          <t>Cadastro_NF</t>
        </is>
      </c>
      <c r="C12" s="7" t="inlineStr">
        <is>
          <t>Moeda</t>
        </is>
      </c>
      <c r="D12" s="7" t="inlineStr">
        <is>
          <t>Nao</t>
        </is>
      </c>
      <c r="E12" s="7" t="inlineStr">
        <is>
          <t>Valor do ICMS</t>
        </is>
      </c>
      <c r="F12" s="7" t="inlineStr">
        <is>
          <t>R$ 0,00</t>
        </is>
      </c>
    </row>
    <row r="13">
      <c r="A13" t="inlineStr">
        <is>
          <t>valor_frete</t>
        </is>
      </c>
      <c r="B13" t="inlineStr">
        <is>
          <t>Cadastro_NF</t>
        </is>
      </c>
      <c r="C13" t="inlineStr">
        <is>
          <t>Moeda</t>
        </is>
      </c>
      <c r="D13" t="inlineStr">
        <is>
          <t>Nao</t>
        </is>
      </c>
      <c r="E13" t="inlineStr">
        <is>
          <t>Valor do frete</t>
        </is>
      </c>
      <c r="F13" t="inlineStr">
        <is>
          <t>R$ 0,00</t>
        </is>
      </c>
    </row>
    <row r="14">
      <c r="A14" s="7" t="inlineStr">
        <is>
          <t>frete_modalidade</t>
        </is>
      </c>
      <c r="B14" s="7" t="inlineStr">
        <is>
          <t>Cadastro_NF</t>
        </is>
      </c>
      <c r="C14" s="7" t="inlineStr">
        <is>
          <t>Texto</t>
        </is>
      </c>
      <c r="D14" s="7" t="inlineStr">
        <is>
          <t>Nao</t>
        </is>
      </c>
      <c r="E14" s="7" t="inlineStr">
        <is>
          <t>Modalidade do frete</t>
        </is>
      </c>
      <c r="F14" s="7" t="inlineStr">
        <is>
          <t>CIF ou FOB</t>
        </is>
      </c>
    </row>
    <row r="15">
      <c r="A15" t="inlineStr">
        <is>
          <t>especie_destino</t>
        </is>
      </c>
      <c r="B15" t="inlineStr">
        <is>
          <t>Cadastro_NF</t>
        </is>
      </c>
      <c r="C15" t="inlineStr">
        <is>
          <t>Texto</t>
        </is>
      </c>
      <c r="D15" t="inlineStr">
        <is>
          <t>Sim</t>
        </is>
      </c>
      <c r="E15" t="inlineStr">
        <is>
          <t>Especie de destino</t>
        </is>
      </c>
      <c r="F15" t="inlineStr">
        <is>
          <t>PET, AVES, SUINOS, RUMINANTES, AQUA, DISTRIBUICAO, OUTRO</t>
        </is>
      </c>
    </row>
    <row r="16">
      <c r="A16" s="7" t="inlineStr">
        <is>
          <t>canal_vendas</t>
        </is>
      </c>
      <c r="B16" s="7" t="inlineStr">
        <is>
          <t>Cadastro_NF</t>
        </is>
      </c>
      <c r="C16" s="7" t="inlineStr">
        <is>
          <t>Texto</t>
        </is>
      </c>
      <c r="D16" s="7" t="inlineStr">
        <is>
          <t>Sim</t>
        </is>
      </c>
      <c r="E16" s="7" t="inlineStr">
        <is>
          <t>Canal de vendas</t>
        </is>
      </c>
      <c r="F16" s="7" t="inlineStr">
        <is>
          <t>Direto, Distribuidor, Industria, Premixera, Cooperativa, Online</t>
        </is>
      </c>
    </row>
    <row r="17">
      <c r="A17" t="inlineStr">
        <is>
          <t>gestor_tecnico</t>
        </is>
      </c>
      <c r="B17" t="inlineStr">
        <is>
          <t>Cadastro_NF</t>
        </is>
      </c>
      <c r="C17" t="inlineStr">
        <is>
          <t>Texto</t>
        </is>
      </c>
      <c r="D17" t="inlineStr">
        <is>
          <t>Sim</t>
        </is>
      </c>
      <c r="E17" t="inlineStr">
        <is>
          <t>Gestor tecnico responsavel</t>
        </is>
      </c>
      <c r="F17" t="inlineStr">
        <is>
          <t>Rodrigo Garginal, Jessica Dilkin, Tais Fauro, Wagner Zacatei</t>
        </is>
      </c>
    </row>
    <row r="18">
      <c r="A18" s="7" t="inlineStr">
        <is>
          <t>vendedor</t>
        </is>
      </c>
      <c r="B18" s="7" t="inlineStr">
        <is>
          <t>Cadastro_NF</t>
        </is>
      </c>
      <c r="C18" s="7" t="inlineStr">
        <is>
          <t>Texto</t>
        </is>
      </c>
      <c r="D18" s="7" t="inlineStr">
        <is>
          <t>Sim</t>
        </is>
      </c>
      <c r="E18" s="7" t="inlineStr">
        <is>
          <t>Vendedor responsavel</t>
        </is>
      </c>
      <c r="F18" s="7" t="inlineStr">
        <is>
          <t>Felipe Leao, Rafael Bellusci, Welington Alvares, Joao Pedro</t>
        </is>
      </c>
    </row>
    <row r="19">
      <c r="A19" t="inlineStr">
        <is>
          <t>produto_codigo</t>
        </is>
      </c>
      <c r="B19" t="inlineStr">
        <is>
          <t>Itens_NF + Lotes</t>
        </is>
      </c>
      <c r="C19" t="inlineStr">
        <is>
          <t>Texto</t>
        </is>
      </c>
      <c r="D19" t="inlineStr">
        <is>
          <t>Sim</t>
        </is>
      </c>
      <c r="E19" t="inlineStr">
        <is>
          <t>Codigo do produto</t>
        </is>
      </c>
      <c r="F19" t="inlineStr">
        <is>
          <t>Ex: BPMI.OR015</t>
        </is>
      </c>
    </row>
    <row r="20">
      <c r="A20" s="7" t="inlineStr">
        <is>
          <t>produto_descricao</t>
        </is>
      </c>
      <c r="B20" s="7" t="inlineStr">
        <is>
          <t>Itens_NF</t>
        </is>
      </c>
      <c r="C20" s="7" t="inlineStr">
        <is>
          <t>Texto</t>
        </is>
      </c>
      <c r="D20" s="7" t="inlineStr">
        <is>
          <t>Nao</t>
        </is>
      </c>
      <c r="E20" s="7" t="inlineStr">
        <is>
          <t>Nome do produto</t>
        </is>
      </c>
      <c r="F20" s="7" t="inlineStr">
        <is>
          <t>Ex: Blink Copper 22 - SC</t>
        </is>
      </c>
    </row>
    <row r="21">
      <c r="A21" t="inlineStr">
        <is>
          <t>produto_cst</t>
        </is>
      </c>
      <c r="B21" t="inlineStr">
        <is>
          <t>Itens_NF</t>
        </is>
      </c>
      <c r="C21" t="inlineStr">
        <is>
          <t>Texto</t>
        </is>
      </c>
      <c r="D21" t="inlineStr">
        <is>
          <t>Nao</t>
        </is>
      </c>
      <c r="E21" t="inlineStr">
        <is>
          <t>Codigo de situacao tributaria</t>
        </is>
      </c>
      <c r="F21" t="inlineStr">
        <is>
          <t>100 (com ICMS) ou 140 (isento)</t>
        </is>
      </c>
    </row>
    <row r="22">
      <c r="A22" s="7" t="inlineStr">
        <is>
          <t>produto_cfop</t>
        </is>
      </c>
      <c r="B22" s="7" t="inlineStr">
        <is>
          <t>Itens_NF</t>
        </is>
      </c>
      <c r="C22" s="7" t="inlineStr">
        <is>
          <t>Texto</t>
        </is>
      </c>
      <c r="D22" s="7" t="inlineStr">
        <is>
          <t>Nao</t>
        </is>
      </c>
      <c r="E22" s="7" t="inlineStr">
        <is>
          <t>Codigo fiscal de operacao</t>
        </is>
      </c>
      <c r="F22" s="7" t="inlineStr">
        <is>
          <t>6102 (fora PR) ou 5102 (dentro PR)</t>
        </is>
      </c>
    </row>
    <row r="23">
      <c r="A23" t="inlineStr">
        <is>
          <t>produto_quantidade</t>
        </is>
      </c>
      <c r="B23" t="inlineStr">
        <is>
          <t>Itens_NF</t>
        </is>
      </c>
      <c r="C23" t="inlineStr">
        <is>
          <t>Numero</t>
        </is>
      </c>
      <c r="D23" t="inlineStr">
        <is>
          <t>Sim</t>
        </is>
      </c>
      <c r="E23" t="inlineStr">
        <is>
          <t>Quantidade em KG</t>
        </is>
      </c>
      <c r="F23" t="inlineStr">
        <is>
          <t>Ex: 300,00</t>
        </is>
      </c>
    </row>
    <row r="24">
      <c r="A24" s="7" t="inlineStr">
        <is>
          <t>produto_valor_unitario</t>
        </is>
      </c>
      <c r="B24" s="7" t="inlineStr">
        <is>
          <t>Itens_NF</t>
        </is>
      </c>
      <c r="C24" s="7" t="inlineStr">
        <is>
          <t>Moeda</t>
        </is>
      </c>
      <c r="D24" s="7" t="inlineStr">
        <is>
          <t>Sim</t>
        </is>
      </c>
      <c r="E24" s="7" t="inlineStr">
        <is>
          <t>Preco por KG</t>
        </is>
      </c>
      <c r="F24" s="7" t="inlineStr">
        <is>
          <t>R$ 0,00</t>
        </is>
      </c>
    </row>
    <row r="25">
      <c r="A25" t="inlineStr">
        <is>
          <t>produto_valor_total</t>
        </is>
      </c>
      <c r="B25" t="inlineStr">
        <is>
          <t>Itens_NF</t>
        </is>
      </c>
      <c r="C25" t="inlineStr">
        <is>
          <t>Moeda</t>
        </is>
      </c>
      <c r="D25" t="inlineStr">
        <is>
          <t>Sim</t>
        </is>
      </c>
      <c r="E25" t="inlineStr">
        <is>
          <t>Valor total do item</t>
        </is>
      </c>
      <c r="F25" t="inlineStr">
        <is>
          <t>R$ 0,00</t>
        </is>
      </c>
    </row>
    <row r="26">
      <c r="A26" s="7" t="inlineStr">
        <is>
          <t>lote_codigo</t>
        </is>
      </c>
      <c r="B26" s="7" t="inlineStr">
        <is>
          <t>Lotes</t>
        </is>
      </c>
      <c r="C26" s="7" t="inlineStr">
        <is>
          <t>Texto</t>
        </is>
      </c>
      <c r="D26" s="7" t="inlineStr">
        <is>
          <t>Sim</t>
        </is>
      </c>
      <c r="E26" s="7" t="inlineStr">
        <is>
          <t>Codigo do lote</t>
        </is>
      </c>
      <c r="F26" s="7" t="inlineStr">
        <is>
          <t>Ex: B2026012002MIOR.Cu22</t>
        </is>
      </c>
    </row>
    <row r="27">
      <c r="A27" t="inlineStr">
        <is>
          <t>lote_quantidade</t>
        </is>
      </c>
      <c r="B27" t="inlineStr">
        <is>
          <t>Lotes</t>
        </is>
      </c>
      <c r="C27" t="inlineStr">
        <is>
          <t>Numero</t>
        </is>
      </c>
      <c r="D27" t="inlineStr">
        <is>
          <t>Sim</t>
        </is>
      </c>
      <c r="E27" t="inlineStr">
        <is>
          <t>Quantidade do lote</t>
        </is>
      </c>
      <c r="F27" t="inlineStr">
        <is>
          <t>Ex: 300,00</t>
        </is>
      </c>
    </row>
    <row r="28">
      <c r="A28" s="7" t="inlineStr">
        <is>
          <t>ordem_compra</t>
        </is>
      </c>
      <c r="B28" s="7" t="inlineStr">
        <is>
          <t>Cadastro_NF</t>
        </is>
      </c>
      <c r="C28" s="7" t="inlineStr">
        <is>
          <t>Texto</t>
        </is>
      </c>
      <c r="D28" s="7" t="inlineStr">
        <is>
          <t>Nao</t>
        </is>
      </c>
      <c r="E28" s="7" t="inlineStr">
        <is>
          <t>Ordem de compra do cliente</t>
        </is>
      </c>
      <c r="F28" s="7" t="inlineStr">
        <is>
          <t>Ex: 15040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2026-09-01T15:01:52Z</dcterms:created>
  <dcterms:modified xsi:type="dcterms:W3CDTF">2026-09-01T15:01:52Z</dcterms:modified>
</cp:coreProperties>
</file>